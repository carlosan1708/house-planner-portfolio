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_HousePlanner" state="veryHidden" r:id="rId5"/>
  </sheets>
  <calcPr calcId="171027"/>
</workbook>
</file>

<file path=xl/sharedStrings.xml><?xml version="1.0" encoding="utf-8"?>
<sst xmlns="http://schemas.openxmlformats.org/spreadsheetml/2006/main" count="73" uniqueCount="52">
  <si>
    <t>House Planner - Presupuesto de demostración</t>
  </si>
  <si>
    <t>Capítulo</t>
  </si>
  <si>
    <t>Partida</t>
  </si>
  <si>
    <t>Tipo</t>
  </si>
  <si>
    <t>Subcategoría</t>
  </si>
  <si>
    <t>Objetivo</t>
  </si>
  <si>
    <t>Exceso sobre objetivo</t>
  </si>
  <si>
    <t>Cotización actual</t>
  </si>
  <si>
    <t>Diferencia con el objetivo</t>
  </si>
  <si>
    <t>Estado</t>
  </si>
  <si>
    <t>Gasto real</t>
  </si>
  <si>
    <t>Proveedor / nota</t>
  </si>
  <si>
    <t>Costo de control</t>
  </si>
  <si>
    <t>Alerta</t>
  </si>
  <si>
    <t>Fuente / evidencia</t>
  </si>
  <si>
    <t>Base del precio</t>
  </si>
  <si>
    <t>Fecha de revisión</t>
  </si>
  <si>
    <t>Referencia normativa</t>
  </si>
  <si>
    <t>Requerido</t>
  </si>
  <si>
    <t>Estructura</t>
  </si>
  <si>
    <t>Concreto y refuerzo</t>
  </si>
  <si>
    <t>Construcción</t>
  </si>
  <si>
    <t>Cimentación</t>
  </si>
  <si>
    <t>Completada</t>
  </si>
  <si>
    <t>Constructora Demo</t>
  </si>
  <si>
    <t/>
  </si>
  <si>
    <t>Acabados</t>
  </si>
  <si>
    <t>Pisos y acabados de paredes</t>
  </si>
  <si>
    <t>Interior</t>
  </si>
  <si>
    <t>En progreso</t>
  </si>
  <si>
    <t>Acabados Demo</t>
  </si>
  <si>
    <t>Interiores</t>
  </si>
  <si>
    <t>Muebles de cocina</t>
  </si>
  <si>
    <t>Mobiliario</t>
  </si>
  <si>
    <t>Cocina</t>
  </si>
  <si>
    <t>Pendiente</t>
  </si>
  <si>
    <t>TOTAL</t>
  </si>
  <si>
    <t>Version</t>
  </si>
  <si>
    <t>2</t>
  </si>
  <si>
    <t>Budget line UUID</t>
  </si>
  <si>
    <t>Sheet</t>
  </si>
  <si>
    <t>Row</t>
  </si>
  <si>
    <t>Chapter</t>
  </si>
  <si>
    <t>Item</t>
  </si>
  <si>
    <t>Key</t>
  </si>
  <si>
    <t>40ff7442df15760b391c7c0e</t>
  </si>
  <si>
    <t>Presupuesto</t>
  </si>
  <si>
    <t>Estructura␟Concreto y refuerzo␟4</t>
  </si>
  <si>
    <t>754c4326b2e202af1177f41a</t>
  </si>
  <si>
    <t>Acabados␟Pisos y acabados de paredes␟5</t>
  </si>
  <si>
    <t>085bd5e1b07946ee26b3b672</t>
  </si>
  <si>
    <t>Interiores␟Muebles de cocina␟6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</si>
</sst>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USD &quot;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375623"/>
    </font>
    <font>
      <b/>
      <color rgb="FF7F6000"/>
    </font>
    <font>
      <b/>
      <color rgb="FF666666"/>
    </font>
    <font>
      <b/>
      <color rgb="FFFFFFFF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92B3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EAF4E2"/>
      </patternFill>
    </fill>
    <fill>
      <patternFill patternType="solid">
        <fgColor rgb="FFFFF4CC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164" fontId="0" fillId="0" borderId="0" xfId="0" applyNumberFormat="1"/>
  </cellXfs>
  <cellStyles count="1">
    <cellStyle name="Normal" xfId="0" builtinId="0"/>
  </cellStyles>
  <dxfs count="25"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666666"/>
      </font>
      <fill>
        <patternFill patternType="solid">
          <bgColor rgb="FFF2F2F2"/>
        </patternFill>
      </fill>
    </dxf>
    <dxf>
      <font>
        <color rgb="FF375623"/>
      </font>
      <fill>
        <patternFill patternType="solid">
          <bgColor rgb="FFEAF4E2"/>
        </patternFill>
      </fill>
    </dxf>
    <dxf>
      <font>
        <color rgb="FF7F6000"/>
      </font>
      <fill>
        <patternFill patternType="solid"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6" customWidth="1"/>
    <col min="5" max="6" width="15" customWidth="1"/>
    <col min="7" max="8" width="17" customWidth="1"/>
    <col min="9" max="9" width="15" customWidth="1"/>
    <col min="10" max="10" width="16" customWidth="1"/>
    <col min="11" max="11" width="23" customWidth="1"/>
    <col min="12" max="12" width="17" customWidth="1"/>
    <col min="13" max="13" width="18" customWidth="1"/>
    <col min="14" max="15" width="19" customWidth="1"/>
    <col min="16" max="16" width="13" customWidth="1"/>
    <col min="17" max="17" width="19" customWidth="1"/>
    <col min="18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9:13" x14ac:dyDescent="0.25">
      <c r="I2" s="2" t="str">
        <f>"✓ "&amp;COUNTIFS($I$4:$I$6,"Completada",$A$4:$A$6,"&lt;&gt;",$A$4:$A$6,"&lt;&gt;TOTAL*",$B$4:$B$6,"&lt;&gt;")&amp;" "&amp;IF(COUNTIFS($I$4:$I$6,"Completada",$A$4:$A$6,"&lt;&gt;",$A$4:$A$6,"&lt;&gt;TOTAL*",$B$4:$B$6,"&lt;&gt;")=1,"completada","completada")</f>
        <v>✓ 1 completada</v>
      </c>
      <c r="K2" s="3" t="str">
        <f>"◐ "&amp;COUNTIFS($I$4:$I$6,"En progreso",$A$4:$A$6,"&lt;&gt;",$A$4:$A$6,"&lt;&gt;TOTAL*",$B$4:$B$6,"&lt;&gt;")&amp;" "&amp;IF(COUNTIFS($I$4:$I$6,"En progreso",$A$4:$A$6,"&lt;&gt;",$A$4:$A$6,"&lt;&gt;TOTAL*",$B$4:$B$6,"&lt;&gt;")=1,"en progreso","en progreso")</f>
        <v>◐ 1 en progreso</v>
      </c>
      <c r="M2" s="4" t="str">
        <f>"○ "&amp;COUNTIFS($I$4:$I$6,"Pendiente",$A$4:$A$6,"&lt;&gt;",$A$4:$A$6,"&lt;&gt;TOTAL*",$B$4:$B$6,"&lt;&gt;")&amp;" "&amp;IF(COUNTIFS($I$4:$I$6,"Pendiente",$A$4:$A$6,"&lt;&gt;",$A$4:$A$6,"&lt;&gt;TOTAL*",$B$4:$B$6,"&lt;&gt;")=1,"pendiente","pendiente")</f>
        <v>○ 1 pendiente</v>
      </c>
    </row>
    <row r="3" spans="1:18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</row>
    <row r="4" spans="1:18" x14ac:dyDescent="0.25">
      <c r="A4" s="6" t="s">
        <v>19</v>
      </c>
      <c r="B4" s="6" t="s">
        <v>20</v>
      </c>
      <c r="C4" s="6" t="s">
        <v>21</v>
      </c>
      <c r="D4" s="6" t="s">
        <v>22</v>
      </c>
      <c r="E4" s="7">
        <v>30000</v>
      </c>
      <c r="F4" s="7">
        <f>MAX(0,IF(J4&gt;0,J4,IF(G4&gt;0,G4,0))-E4)</f>
      </c>
      <c r="G4" s="7">
        <v>29000</v>
      </c>
      <c r="H4" s="7">
        <v>300</v>
      </c>
      <c r="I4" s="2" t="s">
        <v>23</v>
      </c>
      <c r="J4" s="7">
        <v>6200</v>
      </c>
      <c r="K4" s="6" t="s">
        <v>24</v>
      </c>
      <c r="L4" s="7">
        <f>IF(J4&gt;0,J4,IF(G4&gt;0,G4,""))</f>
        <v>6200</v>
      </c>
      <c r="M4" s="6" t="str">
        <f>IF(L4="","SIN DATOS",IF(L4&gt;E4,"SOBRE OBJETIVO","OK"))</f>
        <v>OK</v>
      </c>
      <c r="N4" s="6" t="s">
        <v>25</v>
      </c>
      <c r="O4" s="6" t="s">
        <v>25</v>
      </c>
      <c r="P4" s="6" t="s">
        <v>25</v>
      </c>
      <c r="Q4" s="6" t="s">
        <v>25</v>
      </c>
      <c r="R4" s="6" t="b">
        <v>1</v>
      </c>
    </row>
    <row r="5" spans="1:18" x14ac:dyDescent="0.25">
      <c r="A5" s="8" t="s">
        <v>26</v>
      </c>
      <c r="B5" s="8" t="s">
        <v>27</v>
      </c>
      <c r="C5" s="8" t="s">
        <v>21</v>
      </c>
      <c r="D5" s="8" t="s">
        <v>28</v>
      </c>
      <c r="E5" s="9">
        <v>15000</v>
      </c>
      <c r="F5" s="9">
        <f>MAX(0,IF(J5&gt;0,J5,IF(G5&gt;0,G5,0))-E5)</f>
        <v>500</v>
      </c>
      <c r="G5" s="9">
        <v>15500</v>
      </c>
      <c r="H5" s="9">
        <v>300</v>
      </c>
      <c r="I5" s="3" t="s">
        <v>29</v>
      </c>
      <c r="J5" s="9"/>
      <c r="K5" s="8" t="s">
        <v>30</v>
      </c>
      <c r="L5" s="9">
        <f>IF(J5&gt;0,J5,IF(G5&gt;0,G5,""))</f>
        <v>15500</v>
      </c>
      <c r="M5" s="8" t="str">
        <f>IF(L5="","SIN DATOS",IF(L5&gt;E5,"SOBRE OBJETIVO","OK"))</f>
        <v>SOBRE OBJETIVO</v>
      </c>
      <c r="N5" s="8" t="s">
        <v>25</v>
      </c>
      <c r="O5" s="8" t="s">
        <v>25</v>
      </c>
      <c r="P5" s="8" t="s">
        <v>25</v>
      </c>
      <c r="Q5" s="8" t="s">
        <v>25</v>
      </c>
      <c r="R5" s="8" t="b">
        <v>0</v>
      </c>
    </row>
    <row r="6" spans="1:18" x14ac:dyDescent="0.25">
      <c r="A6" s="10" t="s">
        <v>31</v>
      </c>
      <c r="B6" s="10" t="s">
        <v>32</v>
      </c>
      <c r="C6" s="10" t="s">
        <v>33</v>
      </c>
      <c r="D6" s="10" t="s">
        <v>34</v>
      </c>
      <c r="E6" s="11">
        <v>10000</v>
      </c>
      <c r="F6" s="11">
        <f>MAX(0,IF(J6&gt;0,J6,IF(G6&gt;0,G6,0))-E6)</f>
      </c>
      <c r="G6" s="11">
        <v>0</v>
      </c>
      <c r="H6" s="11"/>
      <c r="I6" s="4" t="s">
        <v>35</v>
      </c>
      <c r="J6" s="11"/>
      <c r="K6" s="10" t="s">
        <v>25</v>
      </c>
      <c r="L6" s="11">
        <f>IF(J6&gt;0,J6,IF(G6&gt;0,G6,""))</f>
      </c>
      <c r="M6" s="10" t="str">
        <f>IF(L6="","SIN DATOS",IF(L6&gt;E6,"SOBRE OBJETIVO","OK"))</f>
        <v>SIN DATOS</v>
      </c>
      <c r="N6" s="10" t="s">
        <v>25</v>
      </c>
      <c r="O6" s="10" t="s">
        <v>25</v>
      </c>
      <c r="P6" s="10" t="s">
        <v>25</v>
      </c>
      <c r="Q6" s="10" t="s">
        <v>25</v>
      </c>
      <c r="R6" s="10" t="b">
        <v>0</v>
      </c>
    </row>
    <row r="8" spans="1:13" x14ac:dyDescent="0.25">
      <c r="A8" t="s">
        <v>36</v>
      </c>
      <c r="E8" s="12">
        <f>SUM(E4:E6)</f>
        <v>55000</v>
      </c>
      <c r="F8" s="12">
        <f>SUM(F4:F6)</f>
        <v>500</v>
      </c>
      <c r="L8" s="12">
        <f>SUM(L4:L6)</f>
        <v>21700</v>
      </c>
      <c r="M8" t="str">
        <f>IF(L8=0,"SIN DATOS",IF(F8&gt;0,"SOBRE OBJETIVO","OK"))</f>
        <v>SOBRE OBJETIVO</v>
      </c>
    </row>
  </sheetData>
  <mergeCells count="1">
    <mergeCell ref="A1:R1"/>
  </mergeCells>
  <conditionalFormatting sqref="I4:I6">
    <cfRule type="containsText" dxfId="0" priority="1">
      <formula>NOT(ISERROR(SEARCH("Completada",I4)))</formula>
    </cfRule>
    <cfRule type="containsText" dxfId="1" priority="2">
      <formula>NOT(ISERROR(SEARCH("En progreso",I4)))</formula>
    </cfRule>
    <cfRule type="containsText" dxfId="2" priority="3">
      <formula>NOT(ISERROR(SEARCH("Pendiente",I4)))</formula>
    </cfRule>
  </conditionalFormatting>
  <conditionalFormatting sqref="A4:R6">
    <cfRule type="expression" dxfId="3" priority="4">
      <formula>$I4="Completada"</formula>
    </cfRule>
    <cfRule type="expression" dxfId="4" priority="5">
      <formula>$I4="En progreso"</formula>
    </cfRule>
  </conditionalFormatting>
  <conditionalFormatting sqref="I4:I6">
    <cfRule type="containsText" dxfId="5" priority="6">
      <formula>NOT(ISERROR(SEARCH("Completada",I4)))</formula>
    </cfRule>
    <cfRule type="containsText" dxfId="6" priority="7">
      <formula>NOT(ISERROR(SEARCH("En progreso",I4)))</formula>
    </cfRule>
    <cfRule type="containsText" dxfId="7" priority="8">
      <formula>NOT(ISERROR(SEARCH("Pendiente",I4)))</formula>
    </cfRule>
  </conditionalFormatting>
  <conditionalFormatting sqref="A4:R6">
    <cfRule type="expression" dxfId="8" priority="9">
      <formula>$I4="Completada"</formula>
    </cfRule>
    <cfRule type="expression" dxfId="9" priority="10">
      <formula>$I4="En progreso"</formula>
    </cfRule>
  </conditionalFormatting>
  <conditionalFormatting sqref="I4:I6">
    <cfRule type="containsText" dxfId="10" priority="11">
      <formula>NOT(ISERROR(SEARCH("Completada",I4)))</formula>
    </cfRule>
    <cfRule type="containsText" dxfId="11" priority="12">
      <formula>NOT(ISERROR(SEARCH("En progreso",I4)))</formula>
    </cfRule>
    <cfRule type="containsText" dxfId="12" priority="13">
      <formula>NOT(ISERROR(SEARCH("Pendiente",I4)))</formula>
    </cfRule>
  </conditionalFormatting>
  <conditionalFormatting sqref="A4:R6">
    <cfRule type="expression" dxfId="13" priority="14">
      <formula>$I4="Completada"</formula>
    </cfRule>
    <cfRule type="expression" dxfId="14" priority="15">
      <formula>$I4="En progreso"</formula>
    </cfRule>
  </conditionalFormatting>
  <conditionalFormatting sqref="I4:I6">
    <cfRule type="containsText" dxfId="15" priority="16">
      <formula>NOT(ISERROR(SEARCH("Completada",I4)))</formula>
    </cfRule>
    <cfRule type="containsText" dxfId="16" priority="17">
      <formula>NOT(ISERROR(SEARCH("En progreso",I4)))</formula>
    </cfRule>
    <cfRule type="containsText" dxfId="17" priority="18">
      <formula>NOT(ISERROR(SEARCH("Pendiente",I4)))</formula>
    </cfRule>
  </conditionalFormatting>
  <conditionalFormatting sqref="A4:R6">
    <cfRule type="expression" dxfId="18" priority="19">
      <formula>$I4="Completada"</formula>
    </cfRule>
    <cfRule type="expression" dxfId="19" priority="20">
      <formula>$I4="En progreso"</formula>
    </cfRule>
  </conditionalFormatting>
  <conditionalFormatting sqref="I4:I6">
    <cfRule type="containsText" dxfId="20" priority="21">
      <formula>NOT(ISERROR(SEARCH("Completada",I4)))</formula>
    </cfRule>
    <cfRule type="containsText" dxfId="21" priority="22">
      <formula>NOT(ISERROR(SEARCH("En progreso",I4)))</formula>
    </cfRule>
    <cfRule type="containsText" dxfId="22" priority="23">
      <formula>NOT(ISERROR(SEARCH("Pendiente",I4)))</formula>
    </cfRule>
  </conditionalFormatting>
  <conditionalFormatting sqref="A4:R6">
    <cfRule type="expression" dxfId="23" priority="24">
      <formula>$I4="Completada"</formula>
    </cfRule>
    <cfRule type="expression" dxfId="24" priority="25">
      <formula>$I4="En progreso"</formula>
    </cfRule>
  </conditionalFormatting>
  <dataValidations count="1">
    <dataValidation type="list" showErrorMessage="1" errorStyle="stop" errorTitle="Estado no válido" error="Seleccioná Pendiente, En progreso o Completada." sqref="I4:I6">
      <formula1>"Pendiente,En progreso,Completada"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2" x14ac:dyDescent="0.25">
      <c r="A1" t="s">
        <v>37</v>
      </c>
      <c r="B1" t="s">
        <v>38</v>
      </c>
    </row>
    <row r="2" spans="1:6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</row>
    <row r="3" spans="1:6" x14ac:dyDescent="0.25">
      <c r="A3" t="s">
        <v>45</v>
      </c>
      <c r="B3" t="s">
        <v>46</v>
      </c>
      <c r="C3">
        <v>4</v>
      </c>
      <c r="D3" t="s">
        <v>19</v>
      </c>
      <c r="E3" t="s">
        <v>20</v>
      </c>
      <c r="F3" t="s">
        <v>47</v>
      </c>
    </row>
    <row r="4" spans="1:6" x14ac:dyDescent="0.25">
      <c r="A4" t="s">
        <v>48</v>
      </c>
      <c r="B4" t="s">
        <v>46</v>
      </c>
      <c r="C4">
        <v>5</v>
      </c>
      <c r="D4" t="s">
        <v>26</v>
      </c>
      <c r="E4" t="s">
        <v>27</v>
      </c>
      <c r="F4" t="s">
        <v>49</v>
      </c>
    </row>
    <row r="5" spans="1:6" x14ac:dyDescent="0.25">
      <c r="A5" t="s">
        <v>50</v>
      </c>
      <c r="B5" t="s">
        <v>46</v>
      </c>
      <c r="C5">
        <v>6</v>
      </c>
      <c r="D5" t="s">
        <v>31</v>
      </c>
      <c r="E5" t="s">
        <v>32</v>
      </c>
      <c r="F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_HousePlanner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2026-08-30T22:42:55Z</dcterms:created>
  <dcterms:modified xsi:type="dcterms:W3CDTF">2026-08-30T22:42:55Z</dcterms:modified>
</cp:coreProperties>
</file>